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gul\Downloads\"/>
    </mc:Choice>
  </mc:AlternateContent>
  <xr:revisionPtr revIDLastSave="0" documentId="13_ncr:1_{C86DBE6F-C0A1-4410-A6CE-310941271055}" xr6:coauthVersionLast="47" xr6:coauthVersionMax="47" xr10:uidLastSave="{00000000-0000-0000-0000-000000000000}"/>
  <bookViews>
    <workbookView xWindow="-105" yWindow="-16320" windowWidth="29040" windowHeight="16440" tabRatio="500" activeTab="1" xr2:uid="{00000000-000D-0000-FFFF-FFFF00000000}"/>
  </bookViews>
  <sheets>
    <sheet name="Branch Analysis" sheetId="1" r:id="rId1"/>
    <sheet name="Scenario Analysi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B5" i="2"/>
  <c r="C8" i="1"/>
  <c r="B8" i="1"/>
  <c r="D7" i="1"/>
  <c r="B9" i="2" s="1"/>
  <c r="D6" i="1"/>
  <c r="E6" i="1" s="1"/>
  <c r="D5" i="1"/>
  <c r="E5" i="1" s="1"/>
  <c r="D8" i="1" l="1"/>
  <c r="E7" i="1"/>
  <c r="B10" i="2" s="1"/>
  <c r="C5" i="2"/>
  <c r="C7" i="2"/>
  <c r="C8" i="2" s="1"/>
  <c r="C9" i="2" s="1"/>
  <c r="C10" i="2" l="1"/>
</calcChain>
</file>

<file path=xl/sharedStrings.xml><?xml version="1.0" encoding="utf-8"?>
<sst xmlns="http://schemas.openxmlformats.org/spreadsheetml/2006/main" count="57" uniqueCount="43">
  <si>
    <t>Monthly Operations Review — Branch Analysis</t>
  </si>
  <si>
    <t>Net Profit = Total Sales - Operating Cost | Profit Margin % = Net Profit / Total Sales</t>
  </si>
  <si>
    <t>Branch</t>
  </si>
  <si>
    <t>Total Sales</t>
  </si>
  <si>
    <t>Operating Cost</t>
  </si>
  <si>
    <t>Net Profit</t>
  </si>
  <si>
    <t>Profit Margin %</t>
  </si>
  <si>
    <t>Customer Feedback</t>
  </si>
  <si>
    <t>Customer Experience Rank</t>
  </si>
  <si>
    <t>Branch A</t>
  </si>
  <si>
    <t>Great service, but long queues.</t>
  </si>
  <si>
    <t>Branch B</t>
  </si>
  <si>
    <t>Always has stock, friendly staff.</t>
  </si>
  <si>
    <t>Branch C</t>
  </si>
  <si>
    <t>Expensive shipping, slow delivery.</t>
  </si>
  <si>
    <t>Total</t>
  </si>
  <si>
    <t>Key Findings</t>
  </si>
  <si>
    <t>Branch C — 15% Operating Cost Reduction Scenario</t>
  </si>
  <si>
    <t>Metric</t>
  </si>
  <si>
    <t>Current Branch C</t>
  </si>
  <si>
    <t>After 15% Cost Reduction</t>
  </si>
  <si>
    <t>—</t>
  </si>
  <si>
    <t>Cost Reduction (15%)</t>
  </si>
  <si>
    <t>New Operating Cost</t>
  </si>
  <si>
    <t>Management Recommendation</t>
  </si>
  <si>
    <t>• Branch B has the highest net profit ($17,500) and margin (45.5%).</t>
  </si>
  <si>
    <t>• Branch C has the highest sales ($52,000), but only a 7.7% margin due to high operating costs.</t>
  </si>
  <si>
    <t>Rank</t>
  </si>
  <si>
    <t>Reason</t>
  </si>
  <si>
    <t xml:space="preserve"> Positive feedback on stock and staff</t>
  </si>
  <si>
    <t>Good service, but long queues</t>
  </si>
  <si>
    <t>Shipping cost and delivery issues</t>
  </si>
  <si>
    <t>Customer Experience Ranking</t>
  </si>
  <si>
    <t>• Based on profitability and customer feedback, Branch B is the strongest overall performer.</t>
  </si>
  <si>
    <t>Impact of a 15% reduction in Branch C's operating cost</t>
  </si>
  <si>
    <t>Approach</t>
  </si>
  <si>
    <t>Reduced Branch C's operating cost by 15% while keeping sales unchanged. Net profit and profit margin were then recalculated to measure the impact.</t>
  </si>
  <si>
    <t>Performance Bonus</t>
  </si>
  <si>
    <t>Highest net profit and margin, supported by positive customer feedback.</t>
  </si>
  <si>
    <t>Process Improvement</t>
  </si>
  <si>
    <t>High operating costs and delivery issues are limiting profitability.</t>
  </si>
  <si>
    <t>Scenario Takeaway</t>
  </si>
  <si>
    <t>A 15% cost reduction increases Branch C's net profit from $4,000 to $11,200 and improves its margin from 7.7% to 21.5%.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</si>
</sst>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4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rgb="FF59595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003366"/>
      </patternFill>
    </fill>
    <fill>
      <patternFill patternType="solid">
        <fgColor theme="0"/>
        <bgColor rgb="FFCC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3366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/>
    <xf numFmtId="0" fontId="2" fillId="0" borderId="0" xfId="0" applyFont="1"/>
    <xf numFmtId="0" fontId="1" fillId="0" borderId="0" xfId="0" applyFont="1"/>
    <xf numFmtId="0" fontId="3" fillId="0" borderId="1" xfId="0" applyFont="1" applyBorder="1"/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8" fillId="0" borderId="0" xfId="0" applyFont="1"/>
    <xf numFmtId="0" fontId="0" fillId="3" borderId="1" xfId="0" applyFill="1" applyBorder="1"/>
    <xf numFmtId="164" fontId="3" fillId="3" borderId="1" xfId="0" applyNumberFormat="1" applyFont="1" applyFill="1" applyBorder="1"/>
    <xf numFmtId="0" fontId="3" fillId="3" borderId="1" xfId="0" applyFont="1" applyFill="1" applyBorder="1"/>
    <xf numFmtId="0" fontId="7" fillId="2" borderId="1" xfId="0" applyFont="1" applyFill="1" applyBorder="1" applyAlignment="1">
      <alignment horizontal="center" wrapText="1"/>
    </xf>
    <xf numFmtId="0" fontId="9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0" fontId="10" fillId="0" borderId="0" xfId="0" applyFont="1"/>
    <xf numFmtId="0" fontId="0" fillId="0" borderId="3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0" fillId="4" borderId="0" xfId="0" applyFill="1"/>
    <xf numFmtId="0" fontId="9" fillId="4" borderId="2" xfId="0" applyFont="1" applyFill="1" applyBorder="1" applyAlignment="1">
      <alignment horizontal="center"/>
    </xf>
    <xf numFmtId="0" fontId="9" fillId="4" borderId="2" xfId="0" applyFont="1" applyFill="1" applyBorder="1"/>
    <xf numFmtId="0" fontId="11" fillId="0" borderId="0" xfId="0" applyFont="1"/>
    <xf numFmtId="0" fontId="6" fillId="0" borderId="0" xfId="0" applyFont="1"/>
    <xf numFmtId="0" fontId="8" fillId="0" borderId="0" xfId="0" applyFont="1" applyAlignment="1">
      <alignment wrapText="1"/>
    </xf>
    <xf numFmtId="0" fontId="9" fillId="0" borderId="0" xfId="0" applyFont="1" applyBorder="1"/>
    <xf numFmtId="0" fontId="9" fillId="4" borderId="3" xfId="0" applyFont="1" applyFill="1" applyBorder="1"/>
    <xf numFmtId="0" fontId="0" fillId="6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zoomScaleNormal="100" workbookViewId="0">
      <pane ySplit="4" topLeftCell="A5" activePane="bottomLeft" state="frozen"/>
      <selection pane="bottomLeft" activeCell="G18" sqref="G18:G19"/>
    </sheetView>
  </sheetViews>
  <sheetFormatPr defaultColWidth="8.7109375" defaultRowHeight="15" x14ac:dyDescent="0.25"/>
  <cols>
    <col min="1" max="1" width="12" customWidth="1"/>
    <col min="2" max="2" width="13" customWidth="1"/>
    <col min="3" max="3" width="50.7109375" customWidth="1"/>
    <col min="4" max="4" width="33.7109375" customWidth="1"/>
    <col min="5" max="5" width="15" customWidth="1"/>
    <col min="6" max="6" width="32" customWidth="1"/>
    <col min="7" max="7" width="59.28515625" customWidth="1"/>
  </cols>
  <sheetData>
    <row r="1" spans="1:8" ht="17.25" customHeight="1" x14ac:dyDescent="0.25">
      <c r="A1" s="10" t="s">
        <v>0</v>
      </c>
      <c r="B1" s="3"/>
      <c r="C1" s="3"/>
      <c r="D1" s="3"/>
      <c r="E1" s="3"/>
      <c r="F1" s="3"/>
      <c r="G1" s="3"/>
    </row>
    <row r="2" spans="1:8" ht="15" customHeight="1" x14ac:dyDescent="0.25">
      <c r="A2" s="27" t="s">
        <v>1</v>
      </c>
      <c r="B2" s="2"/>
      <c r="C2" s="2"/>
      <c r="D2" s="2"/>
      <c r="E2" s="2"/>
      <c r="F2" s="2"/>
      <c r="G2" s="2"/>
    </row>
    <row r="4" spans="1:8" ht="39" customHeight="1" x14ac:dyDescent="0.25">
      <c r="A4" s="23" t="s">
        <v>2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4"/>
    </row>
    <row r="5" spans="1:8" ht="15" customHeight="1" x14ac:dyDescent="0.25">
      <c r="A5" s="4" t="s">
        <v>9</v>
      </c>
      <c r="B5" s="5">
        <v>45000</v>
      </c>
      <c r="C5" s="5">
        <v>32000</v>
      </c>
      <c r="D5" s="5">
        <f>B5-C5</f>
        <v>13000</v>
      </c>
      <c r="E5" s="6">
        <f>D5/B5</f>
        <v>0.28888888888888886</v>
      </c>
      <c r="F5" s="7" t="s">
        <v>10</v>
      </c>
      <c r="G5" s="8">
        <v>2</v>
      </c>
    </row>
    <row r="6" spans="1:8" ht="15" customHeight="1" x14ac:dyDescent="0.25">
      <c r="A6" s="4" t="s">
        <v>11</v>
      </c>
      <c r="B6" s="5">
        <v>38500</v>
      </c>
      <c r="C6" s="5">
        <v>21000</v>
      </c>
      <c r="D6" s="5">
        <f>B6-C6</f>
        <v>17500</v>
      </c>
      <c r="E6" s="6">
        <f>D6/B6</f>
        <v>0.45454545454545453</v>
      </c>
      <c r="F6" s="7" t="s">
        <v>12</v>
      </c>
      <c r="G6" s="8">
        <v>1</v>
      </c>
    </row>
    <row r="7" spans="1:8" ht="15" customHeight="1" x14ac:dyDescent="0.25">
      <c r="A7" s="4" t="s">
        <v>13</v>
      </c>
      <c r="B7" s="5">
        <v>52000</v>
      </c>
      <c r="C7" s="5">
        <v>48000</v>
      </c>
      <c r="D7" s="5">
        <f>B7-C7</f>
        <v>4000</v>
      </c>
      <c r="E7" s="6">
        <f>D7/B7</f>
        <v>7.6923076923076927E-2</v>
      </c>
      <c r="F7" s="7" t="s">
        <v>14</v>
      </c>
      <c r="G7" s="8">
        <v>3</v>
      </c>
    </row>
    <row r="8" spans="1:8" ht="15" customHeight="1" x14ac:dyDescent="0.25">
      <c r="A8" s="14" t="s">
        <v>15</v>
      </c>
      <c r="B8" s="13">
        <f>SUM(B5:B7)</f>
        <v>135500</v>
      </c>
      <c r="C8" s="13">
        <f>SUM(C5:C7)</f>
        <v>101000</v>
      </c>
      <c r="D8" s="13">
        <f>SUM(D5:D7)</f>
        <v>34500</v>
      </c>
      <c r="E8" s="12"/>
      <c r="F8" s="12"/>
      <c r="G8" s="12"/>
    </row>
    <row r="10" spans="1:8" ht="15" customHeight="1" x14ac:dyDescent="0.25">
      <c r="A10" s="9" t="s">
        <v>16</v>
      </c>
    </row>
    <row r="11" spans="1:8" ht="15" customHeight="1" x14ac:dyDescent="0.25">
      <c r="A11" s="11" t="s">
        <v>25</v>
      </c>
      <c r="B11" s="1"/>
      <c r="C11" s="1"/>
      <c r="D11" s="1"/>
      <c r="E11" s="1"/>
      <c r="F11" s="1"/>
      <c r="G11" s="1"/>
    </row>
    <row r="12" spans="1:8" ht="15" customHeight="1" x14ac:dyDescent="0.25">
      <c r="A12" s="11" t="s">
        <v>26</v>
      </c>
      <c r="B12" s="1"/>
      <c r="C12" s="1"/>
      <c r="D12" s="1"/>
      <c r="E12" s="1"/>
      <c r="F12" s="1"/>
      <c r="G12" s="1"/>
    </row>
    <row r="13" spans="1:8" ht="15" customHeight="1" x14ac:dyDescent="0.25">
      <c r="A13" s="11" t="s">
        <v>33</v>
      </c>
      <c r="B13" s="1"/>
      <c r="C13" s="1"/>
      <c r="D13" s="1"/>
      <c r="E13" s="1"/>
      <c r="F13" s="1"/>
      <c r="G13" s="1"/>
    </row>
    <row r="15" spans="1:8" ht="18.75" x14ac:dyDescent="0.3">
      <c r="A15" s="19" t="s">
        <v>32</v>
      </c>
      <c r="B15" s="19"/>
      <c r="C15" s="19"/>
      <c r="D15" s="19"/>
    </row>
    <row r="17" spans="1:6" x14ac:dyDescent="0.25">
      <c r="A17" s="25" t="s">
        <v>27</v>
      </c>
      <c r="B17" s="26" t="s">
        <v>2</v>
      </c>
      <c r="C17" s="31" t="s">
        <v>28</v>
      </c>
      <c r="D17" s="32"/>
      <c r="E17" s="21"/>
      <c r="F17" s="21"/>
    </row>
    <row r="18" spans="1:6" x14ac:dyDescent="0.25">
      <c r="A18" s="18">
        <v>1</v>
      </c>
      <c r="B18" s="17" t="s">
        <v>11</v>
      </c>
      <c r="C18" s="20" t="s">
        <v>29</v>
      </c>
      <c r="D18" s="21"/>
      <c r="E18" s="21"/>
      <c r="F18" s="21"/>
    </row>
    <row r="19" spans="1:6" x14ac:dyDescent="0.25">
      <c r="A19" s="18">
        <v>2</v>
      </c>
      <c r="B19" s="17" t="s">
        <v>9</v>
      </c>
      <c r="C19" s="20" t="s">
        <v>30</v>
      </c>
      <c r="D19" s="21"/>
      <c r="E19" s="21"/>
      <c r="F19" s="21"/>
    </row>
    <row r="20" spans="1:6" x14ac:dyDescent="0.25">
      <c r="A20" s="18">
        <v>3</v>
      </c>
      <c r="B20" s="17" t="s">
        <v>13</v>
      </c>
      <c r="C20" s="20" t="s">
        <v>31</v>
      </c>
      <c r="D20" s="21"/>
      <c r="E20" s="21"/>
      <c r="F20" s="21"/>
    </row>
    <row r="21" spans="1:6" x14ac:dyDescent="0.25">
      <c r="A21" s="22"/>
      <c r="B21" s="21"/>
      <c r="C21" s="21"/>
      <c r="D21" s="21"/>
      <c r="E21" s="21"/>
    </row>
    <row r="22" spans="1:6" x14ac:dyDescent="0.25">
      <c r="A22" s="22"/>
      <c r="B22" s="21"/>
      <c r="C22" s="21"/>
      <c r="D22" s="21"/>
      <c r="E22" s="21"/>
    </row>
    <row r="23" spans="1:6" x14ac:dyDescent="0.25">
      <c r="D23" s="21"/>
    </row>
  </sheetData>
  <mergeCells count="5">
    <mergeCell ref="A1:G1"/>
    <mergeCell ref="A2:G2"/>
    <mergeCell ref="A11:G11"/>
    <mergeCell ref="A12:G12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zoomScaleNormal="100" workbookViewId="0">
      <selection activeCell="B32" sqref="B32"/>
    </sheetView>
  </sheetViews>
  <sheetFormatPr defaultColWidth="8.7109375" defaultRowHeight="15" x14ac:dyDescent="0.25"/>
  <cols>
    <col min="1" max="1" width="30" customWidth="1"/>
    <col min="2" max="2" width="65.28515625" customWidth="1"/>
    <col min="3" max="3" width="26.140625" customWidth="1"/>
    <col min="4" max="4" width="31.7109375" customWidth="1"/>
  </cols>
  <sheetData>
    <row r="1" spans="1:5" ht="17.25" customHeight="1" x14ac:dyDescent="0.25">
      <c r="A1" s="10" t="s">
        <v>17</v>
      </c>
      <c r="B1" s="3"/>
      <c r="C1" s="3"/>
      <c r="D1" s="3"/>
    </row>
    <row r="2" spans="1:5" ht="15" customHeight="1" x14ac:dyDescent="0.25">
      <c r="A2" s="27" t="s">
        <v>34</v>
      </c>
      <c r="B2" s="2"/>
      <c r="C2" s="2"/>
      <c r="D2" s="2"/>
    </row>
    <row r="4" spans="1:5" ht="26.25" customHeight="1" x14ac:dyDescent="0.25">
      <c r="A4" s="15" t="s">
        <v>18</v>
      </c>
      <c r="B4" s="15" t="s">
        <v>19</v>
      </c>
      <c r="C4" s="15" t="s">
        <v>20</v>
      </c>
    </row>
    <row r="5" spans="1:5" ht="15" customHeight="1" x14ac:dyDescent="0.25">
      <c r="A5" s="7" t="s">
        <v>3</v>
      </c>
      <c r="B5" s="5">
        <f>'Branch Analysis'!B7</f>
        <v>52000</v>
      </c>
      <c r="C5" s="5">
        <f>B5</f>
        <v>52000</v>
      </c>
    </row>
    <row r="6" spans="1:5" ht="15" customHeight="1" x14ac:dyDescent="0.25">
      <c r="A6" s="7" t="s">
        <v>4</v>
      </c>
      <c r="B6" s="5">
        <f>'Branch Analysis'!C7</f>
        <v>48000</v>
      </c>
      <c r="C6" s="5" t="s">
        <v>21</v>
      </c>
    </row>
    <row r="7" spans="1:5" ht="15" customHeight="1" x14ac:dyDescent="0.25">
      <c r="A7" s="7" t="s">
        <v>22</v>
      </c>
      <c r="B7" s="5" t="s">
        <v>21</v>
      </c>
      <c r="C7" s="5">
        <f>B6*0.15</f>
        <v>7200</v>
      </c>
    </row>
    <row r="8" spans="1:5" ht="15" customHeight="1" x14ac:dyDescent="0.25">
      <c r="A8" s="7" t="s">
        <v>23</v>
      </c>
      <c r="B8" s="5" t="s">
        <v>21</v>
      </c>
      <c r="C8" s="5">
        <f>B6-C7</f>
        <v>40800</v>
      </c>
    </row>
    <row r="9" spans="1:5" ht="15" customHeight="1" x14ac:dyDescent="0.25">
      <c r="A9" s="7" t="s">
        <v>5</v>
      </c>
      <c r="B9" s="5">
        <f>'Branch Analysis'!D7</f>
        <v>4000</v>
      </c>
      <c r="C9" s="5">
        <f>B5-C8</f>
        <v>11200</v>
      </c>
    </row>
    <row r="10" spans="1:5" ht="15" customHeight="1" x14ac:dyDescent="0.25">
      <c r="A10" s="7" t="s">
        <v>6</v>
      </c>
      <c r="B10" s="6">
        <f>'Branch Analysis'!E7</f>
        <v>7.6923076923076927E-2</v>
      </c>
      <c r="C10" s="6">
        <f>C9/C5</f>
        <v>0.2153846153846154</v>
      </c>
    </row>
    <row r="12" spans="1:5" ht="15" customHeight="1" x14ac:dyDescent="0.25">
      <c r="A12" s="28" t="s">
        <v>35</v>
      </c>
    </row>
    <row r="13" spans="1:5" ht="21.75" customHeight="1" x14ac:dyDescent="0.25">
      <c r="A13" s="29" t="s">
        <v>36</v>
      </c>
      <c r="B13" s="29"/>
      <c r="C13" s="29"/>
      <c r="D13" s="29"/>
    </row>
    <row r="15" spans="1:5" ht="15" customHeight="1" x14ac:dyDescent="0.25">
      <c r="A15" s="9" t="s">
        <v>24</v>
      </c>
    </row>
    <row r="16" spans="1:5" x14ac:dyDescent="0.25">
      <c r="A16" s="21"/>
      <c r="B16" s="21"/>
      <c r="C16" s="21"/>
      <c r="D16" s="21"/>
      <c r="E16" s="21"/>
    </row>
    <row r="17" spans="1:5" x14ac:dyDescent="0.25">
      <c r="A17" s="30" t="s">
        <v>37</v>
      </c>
      <c r="B17" s="21" t="s">
        <v>11</v>
      </c>
      <c r="C17" s="21"/>
      <c r="D17" s="21"/>
      <c r="E17" s="21"/>
    </row>
    <row r="18" spans="1:5" x14ac:dyDescent="0.25">
      <c r="A18" s="30" t="s">
        <v>28</v>
      </c>
      <c r="B18" s="21" t="s">
        <v>38</v>
      </c>
      <c r="C18" s="21"/>
      <c r="D18" s="21"/>
      <c r="E18" s="21"/>
    </row>
    <row r="19" spans="1:5" x14ac:dyDescent="0.25">
      <c r="A19" s="30" t="s">
        <v>39</v>
      </c>
      <c r="B19" s="21" t="s">
        <v>13</v>
      </c>
      <c r="C19" s="21"/>
      <c r="D19" s="21"/>
      <c r="E19" s="21"/>
    </row>
    <row r="20" spans="1:5" x14ac:dyDescent="0.25">
      <c r="A20" s="30" t="s">
        <v>28</v>
      </c>
      <c r="B20" s="21" t="s">
        <v>40</v>
      </c>
      <c r="C20" s="21"/>
      <c r="D20" s="21"/>
      <c r="E20" s="21"/>
    </row>
    <row r="21" spans="1:5" x14ac:dyDescent="0.25">
      <c r="A21" s="21"/>
      <c r="B21" s="21"/>
      <c r="C21" s="21"/>
      <c r="D21" s="21"/>
      <c r="E21" s="21"/>
    </row>
    <row r="22" spans="1:5" x14ac:dyDescent="0.25">
      <c r="A22" s="16" t="s">
        <v>41</v>
      </c>
      <c r="D22" s="21"/>
    </row>
    <row r="23" spans="1:5" x14ac:dyDescent="0.25">
      <c r="A23" t="s">
        <v>42</v>
      </c>
    </row>
  </sheetData>
  <mergeCells count="3">
    <mergeCell ref="A1:D1"/>
    <mergeCell ref="A2:D2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 Analysis</vt:lpstr>
      <vt:lpstr>Scenario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Velmurugan, Ragul</cp:lastModifiedBy>
  <cp:revision>0</cp:revision>
  <dcterms:created xsi:type="dcterms:W3CDTF">2026-09-06T19:11:37Z</dcterms:created>
  <dcterms:modified xsi:type="dcterms:W3CDTF">2026-09-06T20:12:46Z</dcterms:modified>
  <dc:language>en-US</dc:language>
</cp:coreProperties>
</file>